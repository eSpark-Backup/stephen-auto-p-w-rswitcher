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<sst xmlns="http://schemas.openxmlformats.org/spreadsheetml/2006/main" count="108" uniqueCount="86">
  <si>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</si>
  <si>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</si>
  <si>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</si>
  <si>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</si>
  <si>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</si>
  <si>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</si>
  <si>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</si>
  <si>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Value</t>
  </si>
  <si>
    <t>Quantity</t>
  </si>
  <si>
    <t>Remarks</t>
  </si>
  <si>
    <t>Capacitors</t>
  </si>
  <si>
    <t>C1, C3</t>
  </si>
  <si>
    <t>CAP CER 10000PF 100V X7R 0402</t>
  </si>
  <si>
    <t>Cap-0402</t>
  </si>
  <si>
    <t>CC0402KRX7R0BB103</t>
  </si>
  <si>
    <t>Yageo</t>
  </si>
  <si>
    <t>10nF</t>
  </si>
  <si>
    <t>Capacitor</t>
  </si>
  <si>
    <t>C2, C4</t>
  </si>
  <si>
    <t>CAP CER 0.047UF 100V X7R 1206</t>
  </si>
  <si>
    <t>Cap-1206</t>
  </si>
  <si>
    <t>CC1206JRX7R0BB473</t>
  </si>
  <si>
    <t>0.047uF</t>
  </si>
  <si>
    <t>Diodes</t>
  </si>
  <si>
    <t>D1, D4</t>
  </si>
  <si>
    <t>DIODE ZENER 12V 200MW SOD323</t>
  </si>
  <si>
    <t>SOD-323</t>
  </si>
  <si>
    <t>MMSZ5242BS-7-F</t>
  </si>
  <si>
    <t>-</t>
  </si>
  <si>
    <t>TVS Diodes</t>
  </si>
  <si>
    <t>D2, D5</t>
  </si>
  <si>
    <t>TVS DIODE 24VWM 38.9VC DO214AC</t>
  </si>
  <si>
    <t>SMA Bi Directional</t>
  </si>
  <si>
    <t>SMAJ24CA</t>
  </si>
  <si>
    <t>Littelfuse</t>
  </si>
  <si>
    <t>D3, D6</t>
  </si>
  <si>
    <t>DIODE STANDARD 100V 1A SMA</t>
  </si>
  <si>
    <t>SMA(DO-214AC)</t>
  </si>
  <si>
    <t>S1B-13-F</t>
  </si>
  <si>
    <t>Terminal Block</t>
  </si>
  <si>
    <t>J1, J2, J3</t>
  </si>
  <si>
    <t>1x2P Midfoot Barrier Block 2 1 13mm 40A -40℃~+105℃ 750V Black 10~18 Straight pin 6 Plugin,P=13mm Barrier Terminal Blocks ROHS</t>
  </si>
  <si>
    <t>KF78C-13.0-2P</t>
  </si>
  <si>
    <t>CiXi KaiFeng Electronics</t>
  </si>
  <si>
    <t>MOSFET</t>
  </si>
  <si>
    <t>Q1, Q2, Q3, Q5</t>
  </si>
  <si>
    <t>MOSFET N-CH 100V 49A/380A TOLLA</t>
  </si>
  <si>
    <t>Tolla</t>
  </si>
  <si>
    <t>AOTL66912</t>
  </si>
  <si>
    <t>Alpha &amp; Omega Semiconductor</t>
  </si>
  <si>
    <t>BJTs</t>
  </si>
  <si>
    <t>Q4</t>
  </si>
  <si>
    <t>TRANS NPN 80V 0.5A SOT23-3</t>
  </si>
  <si>
    <t>SOT-23</t>
  </si>
  <si>
    <t>MMBTA06-7-F</t>
  </si>
  <si>
    <t>Resistor</t>
  </si>
  <si>
    <t>R2, R11</t>
  </si>
  <si>
    <t>RES SMD 10 OHM 1% 1/10W 0603</t>
  </si>
  <si>
    <t>Res-0603</t>
  </si>
  <si>
    <t>RC0603FR-0710RL</t>
  </si>
  <si>
    <t>10R</t>
  </si>
  <si>
    <t>R3, R5, R8, R9, R12</t>
  </si>
  <si>
    <t>RES SMD 10K Ohm 1% 1/10W 0603</t>
  </si>
  <si>
    <t>RC0603FR-0710KL</t>
  </si>
  <si>
    <t>10K</t>
  </si>
  <si>
    <t>R4, R6, R13</t>
  </si>
  <si>
    <t>RES SMD 1K OHM 1% 1/10W 0603</t>
  </si>
  <si>
    <t>RC0603FR-071KL</t>
  </si>
  <si>
    <t>1K</t>
  </si>
  <si>
    <t>Resistors</t>
  </si>
  <si>
    <t>R10</t>
  </si>
  <si>
    <t>RES 100K OHM 1% 1/10W 0603</t>
  </si>
  <si>
    <t>RC0603FR-07100KL</t>
  </si>
  <si>
    <t>100K</t>
  </si>
  <si>
    <t>IC</t>
  </si>
  <si>
    <t>U1, U2</t>
  </si>
  <si>
    <t>IC OR CTRLR N+1 6DFN</t>
  </si>
  <si>
    <t>DFN-6-EP(2x3)</t>
  </si>
  <si>
    <t>LTC4359HDCB#TRPBF</t>
  </si>
  <si>
    <t>Analog Devices / Linear Technology</t>
  </si>
  <si>
    <t>Peripherals</t>
  </si>
  <si>
    <t>HeatSink</t>
  </si>
  <si>
    <t xml:space="preserve">30*30*10MM 6063-T5 aluminum Heat sink / cooling fin </t>
  </si>
  <si>
    <t>Custom</t>
  </si>
  <si>
    <t>XSDJ7-122</t>
  </si>
  <si>
    <t>XSD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</si>
</sst>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1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6" borderId="11" applyNumberFormat="0" applyAlignment="0" applyProtection="0">
      <alignment vertical="center"/>
    </xf>
    <xf numFmtId="0" fontId="17" fillId="7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6"/>
  <sheetViews>
    <sheetView tabSelected="1" workbookViewId="0">
      <selection activeCell="A16" sqref="A16"/>
    </sheetView>
  </sheetViews>
  <sheetFormatPr defaultColWidth="9" defaultRowHeight="15"/>
  <cols>
    <col min="2" max="2" width="3.14285714285714" style="1" customWidth="1"/>
    <col min="3" max="3" width="18.7142857142857" style="1" customWidth="1"/>
    <col min="4" max="4" width="36" customWidth="1"/>
    <col min="5" max="5" width="30" customWidth="1"/>
    <col min="6" max="6" width="15.1428571428571" customWidth="1"/>
    <col min="7" max="7" width="33.4285714285714" customWidth="1"/>
    <col min="8" max="8" width="21.4285714285714" customWidth="1"/>
    <col min="9" max="9" width="6.71428571428571" customWidth="1"/>
    <col min="10" max="10" width="9.28571428571429" customWidth="1"/>
    <col min="11" max="11" width="9.14285714285714" customWidth="1"/>
  </cols>
  <sheetData>
    <row r="1" ht="15.75" spans="1:11">
      <c r="A1" s="2"/>
      <c r="B1" s="3"/>
      <c r="C1" s="3"/>
      <c r="D1" s="4"/>
      <c r="E1" s="4"/>
      <c r="F1" s="4"/>
      <c r="G1" s="4"/>
      <c r="H1" s="4"/>
      <c r="I1" s="14"/>
      <c r="J1" s="14"/>
      <c r="K1" s="14"/>
    </row>
    <row r="2" ht="15.75" spans="1:11">
      <c r="A2" s="2"/>
      <c r="B2" s="5" t="s">
        <v>0</v>
      </c>
      <c r="C2" s="5" t="s">
        <v>1</v>
      </c>
      <c r="D2" s="5" t="s">
        <v>2</v>
      </c>
      <c r="E2" s="6" t="s">
        <v>3</v>
      </c>
      <c r="F2" s="5" t="s">
        <v>4</v>
      </c>
      <c r="G2" s="6" t="s">
        <v>5</v>
      </c>
      <c r="H2" s="5" t="s">
        <v>6</v>
      </c>
      <c r="I2" s="6" t="s">
        <v>7</v>
      </c>
      <c r="J2" s="5" t="s">
        <v>8</v>
      </c>
      <c r="K2" s="5" t="s">
        <v>9</v>
      </c>
    </row>
    <row r="3" ht="15.75" spans="1:11">
      <c r="A3" s="2"/>
      <c r="B3" s="7">
        <f>ROW(B3)-ROW($B$2)</f>
        <v>1</v>
      </c>
      <c r="C3" s="8" t="s">
        <v>10</v>
      </c>
      <c r="D3" s="9" t="s">
        <v>11</v>
      </c>
      <c r="E3" s="10" t="s">
        <v>12</v>
      </c>
      <c r="F3" s="9" t="s">
        <v>13</v>
      </c>
      <c r="G3" s="10" t="s">
        <v>14</v>
      </c>
      <c r="H3" s="9" t="s">
        <v>15</v>
      </c>
      <c r="I3" s="10" t="s">
        <v>16</v>
      </c>
      <c r="J3" s="9">
        <v>2</v>
      </c>
      <c r="K3" s="9"/>
    </row>
    <row r="4" ht="15.75" spans="1:11">
      <c r="A4" s="2"/>
      <c r="B4" s="7">
        <f>ROW(B4)-ROW($B$2)</f>
        <v>2</v>
      </c>
      <c r="C4" s="11" t="s">
        <v>17</v>
      </c>
      <c r="D4" s="12" t="s">
        <v>18</v>
      </c>
      <c r="E4" s="13" t="s">
        <v>19</v>
      </c>
      <c r="F4" s="12" t="s">
        <v>20</v>
      </c>
      <c r="G4" s="13" t="s">
        <v>21</v>
      </c>
      <c r="H4" s="12" t="s">
        <v>15</v>
      </c>
      <c r="I4" s="13" t="s">
        <v>22</v>
      </c>
      <c r="J4" s="12">
        <v>2</v>
      </c>
      <c r="K4" s="12"/>
    </row>
    <row r="5" ht="15.75" spans="1:11">
      <c r="A5" s="2"/>
      <c r="B5" s="7">
        <f>ROW(B5)-ROW($B$2)</f>
        <v>3</v>
      </c>
      <c r="C5" s="8" t="s">
        <v>23</v>
      </c>
      <c r="D5" s="9" t="s">
        <v>24</v>
      </c>
      <c r="E5" s="10" t="s">
        <v>25</v>
      </c>
      <c r="F5" s="9" t="s">
        <v>26</v>
      </c>
      <c r="G5" s="10" t="s">
        <v>27</v>
      </c>
      <c r="H5" s="9" t="s">
        <v>23</v>
      </c>
      <c r="I5" s="10" t="s">
        <v>28</v>
      </c>
      <c r="J5" s="9">
        <v>2</v>
      </c>
      <c r="K5" s="9"/>
    </row>
    <row r="6" ht="15.75" spans="1:11">
      <c r="A6" s="2"/>
      <c r="B6" s="7">
        <f>ROW(B6)-ROW($B$2)</f>
        <v>4</v>
      </c>
      <c r="C6" s="11" t="s">
        <v>29</v>
      </c>
      <c r="D6" s="12" t="s">
        <v>30</v>
      </c>
      <c r="E6" s="13" t="s">
        <v>31</v>
      </c>
      <c r="F6" s="12" t="s">
        <v>32</v>
      </c>
      <c r="G6" s="13" t="s">
        <v>33</v>
      </c>
      <c r="H6" s="12" t="s">
        <v>34</v>
      </c>
      <c r="I6" s="10" t="s">
        <v>28</v>
      </c>
      <c r="J6" s="12">
        <v>2</v>
      </c>
      <c r="K6" s="12"/>
    </row>
    <row r="7" ht="15.75" spans="1:11">
      <c r="A7" s="2"/>
      <c r="B7" s="7">
        <f>ROW(B7)-ROW($B$2)</f>
        <v>5</v>
      </c>
      <c r="C7" s="8" t="s">
        <v>23</v>
      </c>
      <c r="D7" s="9" t="s">
        <v>35</v>
      </c>
      <c r="E7" s="10" t="s">
        <v>36</v>
      </c>
      <c r="F7" s="9" t="s">
        <v>37</v>
      </c>
      <c r="G7" s="10" t="s">
        <v>38</v>
      </c>
      <c r="H7" s="9" t="s">
        <v>23</v>
      </c>
      <c r="I7" s="10" t="s">
        <v>28</v>
      </c>
      <c r="J7" s="9">
        <v>2</v>
      </c>
      <c r="K7" s="9"/>
    </row>
    <row r="8" ht="48.75" spans="1:11">
      <c r="A8" s="2"/>
      <c r="B8" s="7">
        <f>ROW(B8)-ROW($B$2)</f>
        <v>6</v>
      </c>
      <c r="C8" s="11" t="s">
        <v>39</v>
      </c>
      <c r="D8" s="12" t="s">
        <v>40</v>
      </c>
      <c r="E8" s="13" t="s">
        <v>41</v>
      </c>
      <c r="F8" s="12" t="s">
        <v>42</v>
      </c>
      <c r="G8" s="13" t="s">
        <v>42</v>
      </c>
      <c r="H8" s="12" t="s">
        <v>43</v>
      </c>
      <c r="I8" s="10" t="s">
        <v>28</v>
      </c>
      <c r="J8" s="12">
        <v>3</v>
      </c>
      <c r="K8" s="12"/>
    </row>
    <row r="9" ht="24.75" spans="1:11">
      <c r="A9" s="2"/>
      <c r="B9" s="7">
        <f>ROW(B9)-ROW($B$2)</f>
        <v>7</v>
      </c>
      <c r="C9" s="8" t="s">
        <v>44</v>
      </c>
      <c r="D9" s="9" t="s">
        <v>45</v>
      </c>
      <c r="E9" s="10" t="s">
        <v>46</v>
      </c>
      <c r="F9" s="9" t="s">
        <v>47</v>
      </c>
      <c r="G9" s="10" t="s">
        <v>48</v>
      </c>
      <c r="H9" s="9" t="s">
        <v>49</v>
      </c>
      <c r="I9" s="10" t="s">
        <v>28</v>
      </c>
      <c r="J9" s="9">
        <v>4</v>
      </c>
      <c r="K9" s="9"/>
    </row>
    <row r="10" ht="15.75" spans="1:11">
      <c r="A10" s="2"/>
      <c r="B10" s="7">
        <f>ROW(B10)-ROW($B$2)</f>
        <v>8</v>
      </c>
      <c r="C10" s="11" t="s">
        <v>50</v>
      </c>
      <c r="D10" s="12" t="s">
        <v>51</v>
      </c>
      <c r="E10" s="13" t="s">
        <v>52</v>
      </c>
      <c r="F10" s="12" t="s">
        <v>53</v>
      </c>
      <c r="G10" s="13" t="s">
        <v>54</v>
      </c>
      <c r="H10" s="12" t="s">
        <v>23</v>
      </c>
      <c r="I10" s="10" t="s">
        <v>28</v>
      </c>
      <c r="J10" s="12">
        <v>1</v>
      </c>
      <c r="K10" s="12"/>
    </row>
    <row r="11" ht="15.75" spans="1:11">
      <c r="A11" s="2"/>
      <c r="B11" s="7">
        <f>ROW(B11)-ROW($B$2)</f>
        <v>9</v>
      </c>
      <c r="C11" s="8" t="s">
        <v>55</v>
      </c>
      <c r="D11" s="9" t="s">
        <v>56</v>
      </c>
      <c r="E11" s="10" t="s">
        <v>57</v>
      </c>
      <c r="F11" s="9" t="s">
        <v>58</v>
      </c>
      <c r="G11" s="10" t="s">
        <v>59</v>
      </c>
      <c r="H11" s="9" t="s">
        <v>15</v>
      </c>
      <c r="I11" s="10" t="s">
        <v>60</v>
      </c>
      <c r="J11" s="9">
        <v>2</v>
      </c>
      <c r="K11" s="9"/>
    </row>
    <row r="12" ht="15.75" spans="1:11">
      <c r="A12" s="2"/>
      <c r="B12" s="7">
        <f>ROW(B12)-ROW($B$2)</f>
        <v>10</v>
      </c>
      <c r="C12" s="11" t="s">
        <v>55</v>
      </c>
      <c r="D12" s="12" t="s">
        <v>61</v>
      </c>
      <c r="E12" s="13" t="s">
        <v>62</v>
      </c>
      <c r="F12" s="12" t="s">
        <v>58</v>
      </c>
      <c r="G12" s="13" t="s">
        <v>63</v>
      </c>
      <c r="H12" s="12" t="s">
        <v>15</v>
      </c>
      <c r="I12" s="13" t="s">
        <v>64</v>
      </c>
      <c r="J12" s="12">
        <v>5</v>
      </c>
      <c r="K12" s="12"/>
    </row>
    <row r="13" ht="15.75" spans="1:11">
      <c r="A13" s="2"/>
      <c r="B13" s="7">
        <f>ROW(B13)-ROW($B$2)</f>
        <v>11</v>
      </c>
      <c r="C13" s="8" t="s">
        <v>55</v>
      </c>
      <c r="D13" s="9" t="s">
        <v>65</v>
      </c>
      <c r="E13" s="10" t="s">
        <v>66</v>
      </c>
      <c r="F13" s="9" t="s">
        <v>58</v>
      </c>
      <c r="G13" s="10" t="s">
        <v>67</v>
      </c>
      <c r="H13" s="9" t="s">
        <v>15</v>
      </c>
      <c r="I13" s="10" t="s">
        <v>68</v>
      </c>
      <c r="J13" s="9">
        <v>3</v>
      </c>
      <c r="K13" s="9"/>
    </row>
    <row r="14" ht="15.75" spans="1:11">
      <c r="A14" s="2"/>
      <c r="B14" s="7">
        <f>ROW(B14)-ROW($B$2)</f>
        <v>12</v>
      </c>
      <c r="C14" s="11" t="s">
        <v>69</v>
      </c>
      <c r="D14" s="12" t="s">
        <v>70</v>
      </c>
      <c r="E14" s="13" t="s">
        <v>71</v>
      </c>
      <c r="F14" s="12" t="s">
        <v>58</v>
      </c>
      <c r="G14" s="13" t="s">
        <v>72</v>
      </c>
      <c r="H14" s="12" t="s">
        <v>15</v>
      </c>
      <c r="I14" s="13" t="s">
        <v>73</v>
      </c>
      <c r="J14" s="12">
        <v>1</v>
      </c>
      <c r="K14" s="12"/>
    </row>
    <row r="15" ht="24.75" spans="1:11">
      <c r="A15" s="2"/>
      <c r="B15" s="7">
        <f>ROW(B15)-ROW($B$2)</f>
        <v>13</v>
      </c>
      <c r="C15" s="8" t="s">
        <v>74</v>
      </c>
      <c r="D15" s="9" t="s">
        <v>75</v>
      </c>
      <c r="E15" s="10" t="s">
        <v>76</v>
      </c>
      <c r="F15" s="9" t="s">
        <v>77</v>
      </c>
      <c r="G15" s="10" t="s">
        <v>78</v>
      </c>
      <c r="H15" s="9" t="s">
        <v>79</v>
      </c>
      <c r="I15" s="10" t="s">
        <v>28</v>
      </c>
      <c r="J15" s="9">
        <v>2</v>
      </c>
      <c r="K15" s="9"/>
    </row>
    <row r="16" ht="24.75" spans="2:11">
      <c r="B16" s="7">
        <f>ROW(B16)-ROW($B$2)</f>
        <v>14</v>
      </c>
      <c r="C16" s="8" t="s">
        <v>80</v>
      </c>
      <c r="D16" s="9" t="s">
        <v>81</v>
      </c>
      <c r="E16" s="10" t="s">
        <v>82</v>
      </c>
      <c r="F16" s="9" t="s">
        <v>83</v>
      </c>
      <c r="G16" s="10" t="s">
        <v>84</v>
      </c>
      <c r="H16" s="9" t="s">
        <v>85</v>
      </c>
      <c r="I16" s="10" t="s">
        <v>28</v>
      </c>
      <c r="J16" s="9">
        <v>2</v>
      </c>
      <c r="K16" s="9"/>
    </row>
  </sheetData>
  <mergeCells count="1">
    <mergeCell ref="I1:K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haroon traders</cp:lastModifiedBy>
  <dcterms:created xsi:type="dcterms:W3CDTF">2019-12-12T10:34:00Z</dcterms:created>
  <dcterms:modified xsi:type="dcterms:W3CDTF">2025-07-15T15:19:15Z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CF1A9DE0F5B94202B00C6D2AB1AA384C_13</vt:lpwstr>
  </property>
  <property fmtid="{D5CDD505-2E9C-101B-9397-08002B2CF9AE}" pid="3" name="KSOProductBuildVer">
    <vt:lpwstr>2057-12.2.0.21931</vt:lpwstr>
  </property>
</Properties>
</file>